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00"/>
    <numFmt numFmtId="166" formatCode="0.00000000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2F5140"/>
      <sz val="16"/>
    </font>
    <font>
      <name val="Calibri"/>
      <i val="1"/>
      <color rgb="006B7A6E"/>
      <sz val="9"/>
    </font>
    <font>
      <name val="Calibri"/>
      <b val="1"/>
      <sz val="11"/>
    </font>
    <font>
      <b val="1"/>
      <color rgb="002F5140"/>
      <sz val="13"/>
    </font>
    <font>
      <b val="1"/>
      <color rgb="00C14524"/>
      <sz val="13"/>
    </font>
    <font>
      <b val="1"/>
      <color rgb="00C1452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DCE6DD"/>
      </patternFill>
    </fill>
    <fill>
      <patternFill patternType="solid">
        <fgColor rgb="002F5140"/>
      </patternFill>
    </fill>
  </fills>
  <borders count="2">
    <border>
      <left/>
      <right/>
      <top/>
      <bottom/>
      <diagonal/>
    </border>
    <border>
      <left style="thin">
        <color rgb="00C9CFC7"/>
      </left>
      <right style="thin">
        <color rgb="00C9CFC7"/>
      </right>
      <top style="thin">
        <color rgb="00C9CFC7"/>
      </top>
      <bottom style="thin">
        <color rgb="00C9CF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165" fontId="0" fillId="0" borderId="1" pivotButton="0" quotePrefix="0" xfId="0"/>
    <xf numFmtId="164" fontId="0" fillId="2" borderId="1" pivotButton="0" quotePrefix="0" xfId="0"/>
    <xf numFmtId="166" fontId="0" fillId="0" borderId="1" pivotButton="0" quotePrefix="0" xfId="0"/>
    <xf numFmtId="0" fontId="6" fillId="0" borderId="0" applyAlignment="1" pivotButton="0" quotePrefix="0" xfId="0">
      <alignment vertical="top" wrapText="1"/>
    </xf>
    <xf numFmtId="164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164" fontId="5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4" customWidth="1" min="4" max="4"/>
    <col width="3" customWidth="1" min="5" max="5"/>
    <col width="28" customWidth="1" min="6" max="6"/>
    <col width="18" customWidth="1" min="7" max="7"/>
    <col width="12" customWidth="1" min="8" max="8"/>
  </cols>
  <sheetData>
    <row r="2">
      <c r="B2" s="1" t="inlineStr">
        <is>
          <t>MEN 201 · Biomass calculator</t>
        </is>
      </c>
    </row>
    <row r="3">
      <c r="B3" s="2" t="inlineStr">
        <is>
          <t>Bhutan allometric biomass equations · UWICER &amp; FRMD, DoFPS (2018) · 14 species and 2 general</t>
        </is>
      </c>
    </row>
    <row r="4">
      <c r="B4" s="3" t="inlineStr">
        <is>
          <t>Above-ground biomass in kilograms. Predictor is basal area in m² (or BA × height in m³) — never DBH in cm.</t>
        </is>
      </c>
    </row>
    <row r="6">
      <c r="B6" s="4" t="inlineStr">
        <is>
          <t>INPUTS — type over the shaded cells</t>
        </is>
      </c>
      <c r="F6" s="4" t="inlineStr">
        <is>
          <t>DBH-ONLY EQUATION</t>
        </is>
      </c>
    </row>
    <row r="7">
      <c r="B7" s="4" t="inlineStr">
        <is>
          <t>Species</t>
        </is>
      </c>
      <c r="C7" s="5" t="inlineStr">
        <is>
          <t>General conifer</t>
        </is>
      </c>
      <c r="F7" s="4" t="inlineStr">
        <is>
          <t>b0</t>
        </is>
      </c>
      <c r="G7" s="6">
        <f>IFERROR(VLOOKUP($C$7,Coefficients!$A$3:$R$18,5,FALSE),"")</f>
        <v/>
      </c>
    </row>
    <row r="8">
      <c r="B8" s="4" t="inlineStr">
        <is>
          <t>DBH over bark</t>
        </is>
      </c>
      <c r="C8" s="7" t="n">
        <v>25</v>
      </c>
      <c r="D8" s="2" t="inlineStr">
        <is>
          <t>cm</t>
        </is>
      </c>
      <c r="F8" s="4" t="inlineStr">
        <is>
          <t>b1</t>
        </is>
      </c>
      <c r="G8" s="6">
        <f>IFERROR(VLOOKUP($C$7,Coefficients!$A$3:$R$18,6,FALSE),"")</f>
        <v/>
      </c>
    </row>
    <row r="9">
      <c r="B9" s="4" t="inlineStr">
        <is>
          <t>Total height  (leave blank if unknown)</t>
        </is>
      </c>
      <c r="C9" s="7" t="n">
        <v>16</v>
      </c>
      <c r="D9" s="2" t="inlineStr">
        <is>
          <t>m</t>
        </is>
      </c>
      <c r="F9" s="4" t="inlineStr">
        <is>
          <t>b2</t>
        </is>
      </c>
      <c r="G9" s="6">
        <f>IFERROR(VLOOKUP($C$7,Coefficients!$A$3:$R$18,7,FALSE),"")</f>
        <v/>
      </c>
    </row>
    <row r="10">
      <c r="F10" s="4" t="inlineStr">
        <is>
          <t>t1</t>
        </is>
      </c>
      <c r="G10" s="6">
        <f>IFERROR(VLOOKUP($C$7,Coefficients!$A$3:$R$18,8,FALSE),"")</f>
        <v/>
      </c>
    </row>
    <row r="11">
      <c r="B11" s="4" t="inlineStr">
        <is>
          <t>Basal area  BA</t>
        </is>
      </c>
      <c r="C11" s="6">
        <f>PI()*(C8/100)^2/4</f>
        <v/>
      </c>
      <c r="D11" s="2" t="inlineStr">
        <is>
          <t>m²</t>
        </is>
      </c>
      <c r="F11" s="4" t="inlineStr">
        <is>
          <t>t2</t>
        </is>
      </c>
      <c r="G11" s="6">
        <f>IFERROR(VLOOKUP($C$7,Coefficients!$A$3:$R$18,9,FALSE),"")</f>
        <v/>
      </c>
    </row>
    <row r="12">
      <c r="B12" s="4" t="inlineStr">
        <is>
          <t>BA × height  BAH</t>
        </is>
      </c>
      <c r="C12" s="6">
        <f>IF(C9="","",C11*C9)</f>
        <v/>
      </c>
      <c r="D12" s="2" t="inlineStr">
        <is>
          <t>m³</t>
        </is>
      </c>
      <c r="F12" s="4" t="inlineStr">
        <is>
          <t>t3</t>
        </is>
      </c>
      <c r="G12" s="6">
        <f>IFERROR(VLOOKUP($C$7,Coefficients!$A$3:$R$18,10,FALSE),"")</f>
        <v/>
      </c>
    </row>
    <row r="13">
      <c r="F13" s="4" t="inlineStr">
        <is>
          <t>b3 (2nd spline)</t>
        </is>
      </c>
      <c r="G13" s="6">
        <f>IFERROR(VLOOKUP($C$7,Coefficients!$A$3:$R$18,11,FALSE),"")</f>
        <v/>
      </c>
    </row>
    <row r="14">
      <c r="B14" s="4" t="inlineStr">
        <is>
          <t>RANGE CHECK</t>
        </is>
      </c>
      <c r="F14" s="4" t="inlineStr">
        <is>
          <t>spline X2</t>
        </is>
      </c>
      <c r="G14" s="8">
        <f>MAX(0,$C$11-$G$10)^3-MAX(0,$C$11-$G$11)^3*(($G$12-$G$10)/($G$12-$G$11))+MAX(0,$C$11-$G$12)^3*(($G$11-$G$10)/($G$12-$G$11))</f>
        <v/>
      </c>
    </row>
    <row r="15">
      <c r="B15" s="9">
        <f>IF($C$7="","choose a species",IF(OR($C$8&lt;VLOOKUP($C$7,Coefficients!$A$3:$R$18,3,FALSE),$C$8&gt;VLOOKUP($C$7,Coefficients!$A$3:$R$18,4,FALSE)),"OUTSIDE the fitted DBH range for this species — say so if you use it","Inside the fitted DBH range"))</f>
        <v/>
      </c>
      <c r="F15" s="4" t="inlineStr">
        <is>
          <t>BIOMASS from DBH alone</t>
        </is>
      </c>
      <c r="G15" s="10">
        <f>G7+G8*C11+G9*G14+IF(G13="",0,G13*C11^3)</f>
        <v/>
      </c>
      <c r="H15" s="2" t="inlineStr">
        <is>
          <t>kg</t>
        </is>
      </c>
    </row>
    <row r="16"/>
    <row r="17">
      <c r="F17" s="4" t="inlineStr">
        <is>
          <t>DBH-AND-HEIGHT EQUATION</t>
        </is>
      </c>
    </row>
    <row r="18">
      <c r="F18" s="4" t="inlineStr">
        <is>
          <t>b0</t>
        </is>
      </c>
      <c r="G18" s="6">
        <f>IFERROR(VLOOKUP($C$7,Coefficients!$A$3:$R$18,12,FALSE),"")</f>
        <v/>
      </c>
    </row>
    <row r="19">
      <c r="B19" s="4" t="inlineStr">
        <is>
          <t>Fitted range for this species</t>
        </is>
      </c>
      <c r="C19" s="11">
        <f>IFERROR(TEXT(VLOOKUP($C$7,Coefficients!$A$3:$R$18,3,FALSE),"0.0")&amp;" – "&amp;TEXT(VLOOKUP($C$7,Coefficients!$A$3:$R$18,4,FALSE),"0.0")&amp;" cm   (n="&amp;VLOOKUP($C$7,Coefficients!$A$3:$R$18,2,FALSE)&amp;")","")</f>
        <v/>
      </c>
      <c r="F19" s="4" t="inlineStr">
        <is>
          <t>b1</t>
        </is>
      </c>
      <c r="G19" s="6">
        <f>IFERROR(VLOOKUP($C$7,Coefficients!$A$3:$R$18,13,FALSE),"")</f>
        <v/>
      </c>
    </row>
    <row r="20">
      <c r="F20" s="4" t="inlineStr">
        <is>
          <t>b2</t>
        </is>
      </c>
      <c r="G20" s="6">
        <f>IFERROR(VLOOKUP($C$7,Coefficients!$A$3:$R$18,14,FALSE),"")</f>
        <v/>
      </c>
    </row>
    <row r="21">
      <c r="B21" s="4" t="inlineStr">
        <is>
          <t>Difference, DBH-only − DBH-and-height</t>
        </is>
      </c>
      <c r="C21" s="12">
        <f>IF(ISNUMBER(G26),G15-G26,"")</f>
        <v/>
      </c>
      <c r="F21" s="4" t="inlineStr">
        <is>
          <t>t1</t>
        </is>
      </c>
      <c r="G21" s="6">
        <f>IFERROR(VLOOKUP($C$7,Coefficients!$A$3:$R$18,15,FALSE),"")</f>
        <v/>
      </c>
    </row>
    <row r="22">
      <c r="B22" s="4" t="inlineStr">
        <is>
          <t>…as a % of the DBH-and-height figure</t>
        </is>
      </c>
      <c r="C22" s="13">
        <f>IF(ISNUMBER(G26),IF(G26=0,"",(G15-G26)/G26),"")</f>
        <v/>
      </c>
      <c r="F22" s="4" t="inlineStr">
        <is>
          <t>t2</t>
        </is>
      </c>
      <c r="G22" s="6">
        <f>IFERROR(VLOOKUP($C$7,Coefficients!$A$3:$R$18,16,FALSE),"")</f>
        <v/>
      </c>
    </row>
    <row r="23">
      <c r="F23" s="4" t="inlineStr">
        <is>
          <t>t3</t>
        </is>
      </c>
      <c r="G23" s="6">
        <f>IFERROR(VLOOKUP($C$7,Coefficients!$A$3:$R$18,17,FALSE),"")</f>
        <v/>
      </c>
    </row>
    <row r="24">
      <c r="B24" s="3" t="inlineStr">
        <is>
          <t>Selection hierarchy: species-specific with height first; species-specific on diameter alone when reliable height is unavailable; a general equation only when no suitable species equation exists.</t>
        </is>
      </c>
      <c r="F24" s="4" t="inlineStr">
        <is>
          <t>b3 (2nd spline)</t>
        </is>
      </c>
      <c r="G24" s="6">
        <f>IFERROR(VLOOKUP($C$7,Coefficients!$A$3:$R$18,18,FALSE),"")</f>
        <v/>
      </c>
    </row>
    <row r="25">
      <c r="F25" s="4" t="inlineStr">
        <is>
          <t>spline X2</t>
        </is>
      </c>
      <c r="G25" s="8">
        <f>MAX(0,$C$12-$G$21)^3-MAX(0,$C$12-$G$22)^3*(($G$23-$G$21)/($G$23-$G$22))+MAX(0,$C$12-$G$23)^3*(($G$22-$G$21)/($G$23-$G$22))</f>
        <v/>
      </c>
    </row>
    <row r="26">
      <c r="F26" s="4" t="inlineStr">
        <is>
          <t>BIOMASS from DBH and height</t>
        </is>
      </c>
      <c r="G26" s="14">
        <f>IF($C$9="","height needed",G18+G19*C12+G20*G25+IF(G24="",0,G24*C12^3))</f>
        <v/>
      </c>
      <c r="H26" s="2" t="inlineStr">
        <is>
          <t>kg</t>
        </is>
      </c>
    </row>
    <row r="27"/>
  </sheetData>
  <mergeCells count="3">
    <mergeCell ref="B4:H4"/>
    <mergeCell ref="B24:D27"/>
    <mergeCell ref="B15:D17"/>
  </mergeCells>
  <dataValidations count="1">
    <dataValidation sqref="C7" showDropDown="0" showInputMessage="0" showErrorMessage="0" allowBlank="0" type="list">
      <formula1>=Coefficients!$A$3:$A$18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0" customWidth="1" min="3" max="3"/>
    <col width="10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3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2" t="inlineStr">
        <is>
          <t>UWICER &amp; FRMD, DoFPS (2018) — Allometric Biomass Equations, Tables A and B. Biomass in kg; ba in m²; bah in m³.</t>
        </is>
      </c>
    </row>
    <row r="2">
      <c r="A2" s="15" t="inlineStr">
        <is>
          <t>Species</t>
        </is>
      </c>
      <c r="B2" s="15" t="inlineStr">
        <is>
          <t>n</t>
        </is>
      </c>
      <c r="C2" s="15" t="inlineStr">
        <is>
          <t>DBH min</t>
        </is>
      </c>
      <c r="D2" s="15" t="inlineStr">
        <is>
          <t>DBH max</t>
        </is>
      </c>
      <c r="E2" s="15" t="inlineStr">
        <is>
          <t>BA b0</t>
        </is>
      </c>
      <c r="F2" s="15" t="inlineStr">
        <is>
          <t>BA b1</t>
        </is>
      </c>
      <c r="G2" s="15" t="inlineStr">
        <is>
          <t>BA b2</t>
        </is>
      </c>
      <c r="H2" s="15" t="inlineStr">
        <is>
          <t>BA t1</t>
        </is>
      </c>
      <c r="I2" s="15" t="inlineStr">
        <is>
          <t>BA t2</t>
        </is>
      </c>
      <c r="J2" s="15" t="inlineStr">
        <is>
          <t>BA t3</t>
        </is>
      </c>
      <c r="K2" s="15" t="inlineStr">
        <is>
          <t>BA b3</t>
        </is>
      </c>
      <c r="L2" s="15" t="inlineStr">
        <is>
          <t>BAH b0</t>
        </is>
      </c>
      <c r="M2" s="15" t="inlineStr">
        <is>
          <t>BAH b1</t>
        </is>
      </c>
      <c r="N2" s="15" t="inlineStr">
        <is>
          <t>BAH b2</t>
        </is>
      </c>
      <c r="O2" s="15" t="inlineStr">
        <is>
          <t>BAH t1</t>
        </is>
      </c>
      <c r="P2" s="15" t="inlineStr">
        <is>
          <t>BAH t2</t>
        </is>
      </c>
      <c r="Q2" s="15" t="inlineStr">
        <is>
          <t>BAH t3</t>
        </is>
      </c>
      <c r="R2" s="15" t="inlineStr">
        <is>
          <t>BAH b3</t>
        </is>
      </c>
    </row>
    <row r="3">
      <c r="A3" s="16" t="inlineStr">
        <is>
          <t>Abies densa</t>
        </is>
      </c>
      <c r="B3" s="11" t="n">
        <v>55</v>
      </c>
      <c r="C3" s="11" t="n">
        <v>5</v>
      </c>
      <c r="D3" s="11" t="n">
        <v>82</v>
      </c>
      <c r="E3" s="6" t="n">
        <v>-5.76</v>
      </c>
      <c r="F3" s="6" t="n">
        <v>3436.38</v>
      </c>
      <c r="G3" s="6" t="n">
        <v>36408.9</v>
      </c>
      <c r="H3" s="6" t="n">
        <v>0.004562</v>
      </c>
      <c r="I3" s="6" t="n">
        <v>0.110447</v>
      </c>
      <c r="J3" s="6" t="n">
        <v>0.303648</v>
      </c>
      <c r="K3" s="6" t="n"/>
      <c r="L3" s="6" t="n">
        <v>2.35313</v>
      </c>
      <c r="M3" s="6" t="n">
        <v>173.7675</v>
      </c>
      <c r="N3" s="6" t="n">
        <v>-0.59995</v>
      </c>
      <c r="O3" s="6" t="n">
        <v>0.023989</v>
      </c>
      <c r="P3" s="6" t="n">
        <v>2.572786</v>
      </c>
      <c r="Q3" s="6" t="n">
        <v>10.73243</v>
      </c>
      <c r="R3" s="6" t="n"/>
    </row>
    <row r="4">
      <c r="A4" s="16" t="inlineStr">
        <is>
          <t>Cupressus corneyana</t>
        </is>
      </c>
      <c r="B4" s="11" t="n">
        <v>32</v>
      </c>
      <c r="C4" s="11" t="n">
        <v>3.6</v>
      </c>
      <c r="D4" s="11" t="n">
        <v>88</v>
      </c>
      <c r="E4" s="6" t="n">
        <v>-3.96</v>
      </c>
      <c r="F4" s="6" t="n">
        <v>4300</v>
      </c>
      <c r="G4" s="6" t="n">
        <v>50295</v>
      </c>
      <c r="H4" s="6" t="n">
        <v>0.003905</v>
      </c>
      <c r="I4" s="6" t="n">
        <v>0.098999</v>
      </c>
      <c r="J4" s="6" t="n">
        <v>0.37853</v>
      </c>
      <c r="K4" s="6" t="n"/>
      <c r="L4" s="6" t="n">
        <v>1.22235</v>
      </c>
      <c r="M4" s="6" t="n">
        <v>165.16238</v>
      </c>
      <c r="N4" s="6" t="n">
        <v>-0.31452</v>
      </c>
      <c r="O4" s="6" t="n">
        <v>0.024764</v>
      </c>
      <c r="P4" s="6" t="n">
        <v>3.498551</v>
      </c>
      <c r="Q4" s="6" t="n">
        <v>17.51606</v>
      </c>
      <c r="R4" s="6" t="n"/>
    </row>
    <row r="5">
      <c r="A5" s="16" t="inlineStr">
        <is>
          <t>Juniperus recurva</t>
        </is>
      </c>
      <c r="B5" s="11" t="n">
        <v>32</v>
      </c>
      <c r="C5" s="11" t="n">
        <v>6</v>
      </c>
      <c r="D5" s="11" t="n">
        <v>68</v>
      </c>
      <c r="E5" s="6" t="n">
        <v>-4.85</v>
      </c>
      <c r="F5" s="6" t="n">
        <v>3234</v>
      </c>
      <c r="G5" s="6" t="n">
        <v>26753</v>
      </c>
      <c r="H5" s="6" t="n">
        <v>0.006816</v>
      </c>
      <c r="I5" s="6" t="n">
        <v>0.075555</v>
      </c>
      <c r="J5" s="6" t="n">
        <v>0.263935</v>
      </c>
      <c r="K5" s="6" t="n"/>
      <c r="L5" s="6" t="n">
        <v>4.08057</v>
      </c>
      <c r="M5" s="6" t="n">
        <v>201.65385</v>
      </c>
      <c r="N5" s="6" t="n">
        <v>-2.18485</v>
      </c>
      <c r="O5" s="6" t="n">
        <v>0.059807</v>
      </c>
      <c r="P5" s="6" t="n">
        <v>1.436454</v>
      </c>
      <c r="Q5" s="6" t="n">
        <v>5.571413</v>
      </c>
      <c r="R5" s="6" t="n"/>
    </row>
    <row r="6">
      <c r="A6" s="16" t="inlineStr">
        <is>
          <t>Larix griffithii</t>
        </is>
      </c>
      <c r="B6" s="11" t="n">
        <v>32</v>
      </c>
      <c r="C6" s="11" t="n">
        <v>5.2</v>
      </c>
      <c r="D6" s="11" t="n">
        <v>83</v>
      </c>
      <c r="E6" s="6" t="n">
        <v>-3.84</v>
      </c>
      <c r="F6" s="6" t="n">
        <v>3455</v>
      </c>
      <c r="G6" s="6" t="n">
        <v>29738</v>
      </c>
      <c r="H6" s="6" t="n">
        <v>0.008396000000000001</v>
      </c>
      <c r="I6" s="6" t="n">
        <v>0.131148</v>
      </c>
      <c r="J6" s="6" t="n">
        <v>0.330317</v>
      </c>
      <c r="K6" s="6" t="n"/>
      <c r="L6" s="6" t="n">
        <v>2.73648</v>
      </c>
      <c r="M6" s="6" t="n">
        <v>221.68872</v>
      </c>
      <c r="N6" s="6" t="n">
        <v>-1.618</v>
      </c>
      <c r="O6" s="6" t="n">
        <v>0.06966799999999999</v>
      </c>
      <c r="P6" s="6" t="n">
        <v>2.894957</v>
      </c>
      <c r="Q6" s="6" t="n">
        <v>11.17016</v>
      </c>
      <c r="R6" s="6" t="n"/>
    </row>
    <row r="7">
      <c r="A7" s="16" t="inlineStr">
        <is>
          <t>Picea spinulosa</t>
        </is>
      </c>
      <c r="B7" s="11" t="n">
        <v>48</v>
      </c>
      <c r="C7" s="11" t="n">
        <v>5.6</v>
      </c>
      <c r="D7" s="11" t="n">
        <v>87</v>
      </c>
      <c r="E7" s="6" t="n">
        <v>-6.164</v>
      </c>
      <c r="F7" s="6" t="n">
        <v>3934</v>
      </c>
      <c r="G7" s="6" t="n">
        <v>43569</v>
      </c>
      <c r="H7" s="6" t="n">
        <v>0.006648</v>
      </c>
      <c r="I7" s="6" t="n">
        <v>0.113411</v>
      </c>
      <c r="J7" s="6" t="n">
        <v>0.321234</v>
      </c>
      <c r="K7" s="6" t="n"/>
      <c r="L7" s="6" t="n">
        <v>5.539</v>
      </c>
      <c r="M7" s="6" t="n">
        <v>179.124</v>
      </c>
      <c r="N7" s="6" t="n">
        <v>-0.396</v>
      </c>
      <c r="O7" s="6" t="n">
        <v>0.045708</v>
      </c>
      <c r="P7" s="6" t="n">
        <v>2.588578</v>
      </c>
      <c r="Q7" s="6" t="n">
        <v>12.01843</v>
      </c>
      <c r="R7" s="6" t="n"/>
    </row>
    <row r="8">
      <c r="A8" s="16" t="inlineStr">
        <is>
          <t>Pinus roxburghii</t>
        </is>
      </c>
      <c r="B8" s="11" t="n">
        <v>51</v>
      </c>
      <c r="C8" s="11" t="n">
        <v>3</v>
      </c>
      <c r="D8" s="11" t="n">
        <v>77.8</v>
      </c>
      <c r="E8" s="6" t="n">
        <v>-3.44</v>
      </c>
      <c r="F8" s="6" t="n">
        <v>5098</v>
      </c>
      <c r="G8" s="6" t="n">
        <v>56376</v>
      </c>
      <c r="H8" s="6" t="n">
        <v>0.0023</v>
      </c>
      <c r="I8" s="6" t="n">
        <v>0.1029</v>
      </c>
      <c r="J8" s="6" t="n">
        <v>0.368529</v>
      </c>
      <c r="K8" s="6" t="n"/>
      <c r="L8" s="6" t="n">
        <v>0.93085</v>
      </c>
      <c r="M8" s="6" t="n">
        <v>286.67503</v>
      </c>
      <c r="N8" s="6" t="n">
        <v>-0.9389999999999999</v>
      </c>
      <c r="O8" s="6" t="n">
        <v>0.013202</v>
      </c>
      <c r="P8" s="6" t="n">
        <v>2.678307</v>
      </c>
      <c r="Q8" s="6" t="n">
        <v>14.03231</v>
      </c>
      <c r="R8" s="6" t="n"/>
    </row>
    <row r="9">
      <c r="A9" s="16" t="inlineStr">
        <is>
          <t>Pinus wallichiana</t>
        </is>
      </c>
      <c r="B9" s="11" t="n">
        <v>52</v>
      </c>
      <c r="C9" s="11" t="n">
        <v>2.6</v>
      </c>
      <c r="D9" s="11" t="n">
        <v>95.8</v>
      </c>
      <c r="E9" s="6" t="n">
        <v>-1.57</v>
      </c>
      <c r="F9" s="6" t="n">
        <v>3444</v>
      </c>
      <c r="G9" s="6" t="n">
        <v>55392</v>
      </c>
      <c r="H9" s="6" t="n">
        <v>0.00309</v>
      </c>
      <c r="I9" s="6" t="n">
        <v>0.09840699999999999</v>
      </c>
      <c r="J9" s="6" t="n">
        <v>0.394911</v>
      </c>
      <c r="K9" s="6" t="n"/>
      <c r="L9" s="6" t="n">
        <v>0.63608</v>
      </c>
      <c r="M9" s="6" t="n">
        <v>195.88699</v>
      </c>
      <c r="N9" s="6" t="n">
        <v>-0.6393</v>
      </c>
      <c r="O9" s="6" t="n">
        <v>0.02457</v>
      </c>
      <c r="P9" s="6" t="n">
        <v>2.424196</v>
      </c>
      <c r="Q9" s="6" t="n">
        <v>14.68175</v>
      </c>
      <c r="R9" s="6" t="n"/>
    </row>
    <row r="10">
      <c r="A10" s="16" t="inlineStr">
        <is>
          <t>Tsuga dumosa</t>
        </is>
      </c>
      <c r="B10" s="11" t="n">
        <v>55</v>
      </c>
      <c r="C10" s="11" t="n">
        <v>4.5</v>
      </c>
      <c r="D10" s="11" t="n">
        <v>95</v>
      </c>
      <c r="E10" s="6" t="n">
        <v>-4.8</v>
      </c>
      <c r="F10" s="6" t="n">
        <v>3854</v>
      </c>
      <c r="G10" s="6" t="n">
        <v>15174</v>
      </c>
      <c r="H10" s="6" t="n">
        <v>0.006181</v>
      </c>
      <c r="I10" s="6" t="n">
        <v>0.138544</v>
      </c>
      <c r="J10" s="6" t="n">
        <v>0.440845</v>
      </c>
      <c r="K10" s="6" t="n"/>
      <c r="L10" s="6" t="n">
        <v>2.80713</v>
      </c>
      <c r="M10" s="6" t="n">
        <v>181.04279</v>
      </c>
      <c r="N10" s="6" t="n">
        <v>-0.47106</v>
      </c>
      <c r="O10" s="6" t="n">
        <v>0.056836</v>
      </c>
      <c r="P10" s="6" t="n">
        <v>3.518025</v>
      </c>
      <c r="Q10" s="6" t="n">
        <v>15.82663</v>
      </c>
      <c r="R10" s="6" t="n"/>
    </row>
    <row r="11">
      <c r="A11" s="16" t="inlineStr">
        <is>
          <t>Castanopsis tribuloides</t>
        </is>
      </c>
      <c r="B11" s="11" t="n">
        <v>32</v>
      </c>
      <c r="C11" s="11" t="n">
        <v>5</v>
      </c>
      <c r="D11" s="11" t="n">
        <v>89</v>
      </c>
      <c r="E11" s="6" t="n">
        <v>1.39</v>
      </c>
      <c r="F11" s="6" t="n">
        <v>5303</v>
      </c>
      <c r="G11" s="6" t="n">
        <v>2722</v>
      </c>
      <c r="H11" s="6" t="n">
        <v>0.007382</v>
      </c>
      <c r="I11" s="6" t="n">
        <v>0.134038</v>
      </c>
      <c r="J11" s="6" t="n">
        <v>0.40222</v>
      </c>
      <c r="K11" s="6" t="n">
        <v>4129</v>
      </c>
      <c r="L11" s="6" t="n">
        <v>13.01</v>
      </c>
      <c r="M11" s="6" t="n">
        <v>297</v>
      </c>
      <c r="N11" s="6" t="n">
        <v>-2.34</v>
      </c>
      <c r="O11" s="6" t="n">
        <v>0.046199</v>
      </c>
      <c r="P11" s="6" t="n">
        <v>2.517564</v>
      </c>
      <c r="Q11" s="6" t="n">
        <v>10.00328</v>
      </c>
      <c r="R11" s="6" t="n">
        <v>3849</v>
      </c>
    </row>
    <row r="12">
      <c r="A12" s="16" t="inlineStr">
        <is>
          <t>Quercus glauca</t>
        </is>
      </c>
      <c r="B12" s="11" t="n">
        <v>34</v>
      </c>
      <c r="C12" s="11" t="n">
        <v>4.2</v>
      </c>
      <c r="D12" s="11" t="n">
        <v>77.3</v>
      </c>
      <c r="E12" s="6" t="n">
        <v>-3.97</v>
      </c>
      <c r="F12" s="6" t="n">
        <v>6437</v>
      </c>
      <c r="G12" s="6" t="n">
        <v>36970</v>
      </c>
      <c r="H12" s="6" t="n">
        <v>0.006536</v>
      </c>
      <c r="I12" s="6" t="n">
        <v>0.09904300000000001</v>
      </c>
      <c r="J12" s="6" t="n">
        <v>0.374257</v>
      </c>
      <c r="K12" s="6" t="n"/>
      <c r="L12" s="6" t="n">
        <v>2.73</v>
      </c>
      <c r="M12" s="6" t="n">
        <v>423</v>
      </c>
      <c r="N12" s="6" t="n">
        <v>-4.22</v>
      </c>
      <c r="O12" s="6" t="n">
        <v>0.049256</v>
      </c>
      <c r="P12" s="6" t="n">
        <v>1.704485</v>
      </c>
      <c r="Q12" s="6" t="n">
        <v>10.86179</v>
      </c>
      <c r="R12" s="6" t="n"/>
    </row>
    <row r="13">
      <c r="A13" s="16" t="inlineStr">
        <is>
          <t>Quercus griffithii</t>
        </is>
      </c>
      <c r="B13" s="11" t="n">
        <v>32</v>
      </c>
      <c r="C13" s="11" t="n">
        <v>8</v>
      </c>
      <c r="D13" s="11" t="n">
        <v>79.5</v>
      </c>
      <c r="E13" s="6" t="n">
        <v>-9.380000000000001</v>
      </c>
      <c r="F13" s="6" t="n">
        <v>5438</v>
      </c>
      <c r="G13" s="6" t="n">
        <v>15835</v>
      </c>
      <c r="H13" s="6" t="n">
        <v>0.00731</v>
      </c>
      <c r="I13" s="6" t="n">
        <v>0.132139</v>
      </c>
      <c r="J13" s="6" t="n">
        <v>0.364998</v>
      </c>
      <c r="K13" s="6" t="n"/>
      <c r="L13" s="6" t="n">
        <v>9.85</v>
      </c>
      <c r="M13" s="6" t="n">
        <v>261.6</v>
      </c>
      <c r="N13" s="6" t="n">
        <v>-101</v>
      </c>
      <c r="O13" s="6" t="n">
        <v>0.07945000000000001</v>
      </c>
      <c r="P13" s="6" t="n">
        <v>2.914077</v>
      </c>
      <c r="Q13" s="6" t="n">
        <v>9.398555999999999</v>
      </c>
      <c r="R13" s="6" t="n"/>
    </row>
    <row r="14">
      <c r="A14" s="16" t="inlineStr">
        <is>
          <t>Quercus lanata</t>
        </is>
      </c>
      <c r="B14" s="11" t="n">
        <v>34</v>
      </c>
      <c r="C14" s="11" t="n">
        <v>3.3</v>
      </c>
      <c r="D14" s="11" t="n">
        <v>77.5</v>
      </c>
      <c r="E14" s="6" t="n">
        <v>-0.77</v>
      </c>
      <c r="F14" s="6" t="n">
        <v>4500</v>
      </c>
      <c r="G14" s="6" t="n">
        <v>25308</v>
      </c>
      <c r="H14" s="6" t="n">
        <v>0.013335</v>
      </c>
      <c r="I14" s="6" t="n">
        <v>0.141882</v>
      </c>
      <c r="J14" s="6" t="n">
        <v>0.393956</v>
      </c>
      <c r="K14" s="6" t="n"/>
      <c r="L14" s="6" t="n">
        <v>2.22</v>
      </c>
      <c r="M14" s="6" t="n">
        <v>341</v>
      </c>
      <c r="N14" s="6" t="n">
        <v>-1.92</v>
      </c>
      <c r="O14" s="6" t="n">
        <v>0.120915</v>
      </c>
      <c r="P14" s="6" t="n">
        <v>2.224379</v>
      </c>
      <c r="Q14" s="6" t="n">
        <v>7.623232</v>
      </c>
      <c r="R14" s="6" t="n"/>
    </row>
    <row r="15">
      <c r="A15" s="16" t="inlineStr">
        <is>
          <t>Rhododendron arboreum</t>
        </is>
      </c>
      <c r="B15" s="11" t="n">
        <v>35</v>
      </c>
      <c r="C15" s="11" t="n">
        <v>5.5</v>
      </c>
      <c r="D15" s="11" t="n">
        <v>58.4</v>
      </c>
      <c r="E15" s="6" t="n">
        <v>-0.19</v>
      </c>
      <c r="F15" s="6" t="n">
        <v>1637</v>
      </c>
      <c r="G15" s="6" t="n">
        <v>43190</v>
      </c>
      <c r="H15" s="6" t="n">
        <v>0.006834</v>
      </c>
      <c r="I15" s="6" t="n">
        <v>0.091863</v>
      </c>
      <c r="J15" s="6" t="n">
        <v>0.207339</v>
      </c>
      <c r="K15" s="6" t="n"/>
      <c r="L15" s="6" t="n">
        <v>1.87</v>
      </c>
      <c r="M15" s="6" t="n">
        <v>214</v>
      </c>
      <c r="N15" s="6" t="n">
        <v>-1.38</v>
      </c>
      <c r="O15" s="6" t="n">
        <v>0.035309</v>
      </c>
      <c r="P15" s="6" t="n">
        <v>0.9002599999999999</v>
      </c>
      <c r="Q15" s="6" t="n">
        <v>2.678036</v>
      </c>
      <c r="R15" s="6" t="n"/>
    </row>
    <row r="16">
      <c r="A16" s="16" t="inlineStr">
        <is>
          <t>Alnus nepalensis</t>
        </is>
      </c>
      <c r="B16" s="11" t="n">
        <v>32</v>
      </c>
      <c r="C16" s="11" t="n">
        <v>7</v>
      </c>
      <c r="D16" s="11" t="n">
        <v>77</v>
      </c>
      <c r="E16" s="6" t="n">
        <v>-12.3</v>
      </c>
      <c r="F16" s="6" t="n">
        <v>5474</v>
      </c>
      <c r="G16" s="6" t="n">
        <v>1581</v>
      </c>
      <c r="H16" s="6" t="n">
        <v>0.008812</v>
      </c>
      <c r="I16" s="6" t="n">
        <v>0.131185</v>
      </c>
      <c r="J16" s="6" t="n">
        <v>0.415138</v>
      </c>
      <c r="K16" s="6" t="n"/>
      <c r="L16" s="6" t="n">
        <v>15.1</v>
      </c>
      <c r="M16" s="6" t="n">
        <v>194</v>
      </c>
      <c r="N16" s="6" t="n">
        <v>-0.44</v>
      </c>
      <c r="O16" s="6" t="n">
        <v>0.112019</v>
      </c>
      <c r="P16" s="6" t="n">
        <v>3.992085</v>
      </c>
      <c r="Q16" s="6" t="n">
        <v>14.19324</v>
      </c>
      <c r="R16" s="6" t="n"/>
    </row>
    <row r="17">
      <c r="A17" s="16" t="inlineStr">
        <is>
          <t>General conifer</t>
        </is>
      </c>
      <c r="B17" s="11" t="n">
        <v>357</v>
      </c>
      <c r="C17" s="11" t="n">
        <v>2.6</v>
      </c>
      <c r="D17" s="11" t="n">
        <v>95.8</v>
      </c>
      <c r="E17" s="6" t="n">
        <v>-12.3</v>
      </c>
      <c r="F17" s="6" t="n">
        <v>3299</v>
      </c>
      <c r="G17" s="6" t="n">
        <v>52756</v>
      </c>
      <c r="H17" s="6" t="n">
        <v>0.004927</v>
      </c>
      <c r="I17" s="6" t="n">
        <v>0.107521</v>
      </c>
      <c r="J17" s="6" t="n">
        <v>0.369822</v>
      </c>
      <c r="K17" s="6" t="n"/>
      <c r="L17" s="6" t="n">
        <v>1.1209</v>
      </c>
      <c r="M17" s="6" t="n">
        <v>201.92169</v>
      </c>
      <c r="N17" s="6" t="n">
        <v>-0.76344</v>
      </c>
      <c r="O17" s="6" t="n">
        <v>0.028401</v>
      </c>
      <c r="P17" s="6" t="n">
        <v>2.601966</v>
      </c>
      <c r="Q17" s="6" t="n">
        <v>13.99573</v>
      </c>
      <c r="R17" s="6" t="n"/>
    </row>
    <row r="18">
      <c r="A18" s="16" t="inlineStr">
        <is>
          <t>General broadleaf</t>
        </is>
      </c>
      <c r="B18" s="11" t="n">
        <v>199</v>
      </c>
      <c r="C18" s="11" t="n">
        <v>3.3</v>
      </c>
      <c r="D18" s="11" t="n">
        <v>89</v>
      </c>
      <c r="E18" s="6" t="n">
        <v>-1.06</v>
      </c>
      <c r="F18" s="6" t="n">
        <v>4341</v>
      </c>
      <c r="G18" s="6" t="n">
        <v>30173</v>
      </c>
      <c r="H18" s="6" t="n">
        <v>0.006648</v>
      </c>
      <c r="I18" s="6" t="n">
        <v>0.119459</v>
      </c>
      <c r="J18" s="6" t="n">
        <v>0.368977</v>
      </c>
      <c r="K18" s="6" t="n">
        <v>4013</v>
      </c>
      <c r="L18" s="6" t="n">
        <v>4.11</v>
      </c>
      <c r="M18" s="6" t="n">
        <v>302</v>
      </c>
      <c r="N18" s="6" t="n">
        <v>-2.78</v>
      </c>
      <c r="O18" s="6" t="n">
        <v>0.055951</v>
      </c>
      <c r="P18" s="6" t="n">
        <v>1.770287</v>
      </c>
      <c r="Q18" s="6" t="n">
        <v>10.10082</v>
      </c>
      <c r="R18" s="6" t="n">
        <v>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2">
      <c r="B2" s="1" t="inlineStr">
        <is>
          <t>Checks against the figures taught in Unit VI</t>
        </is>
      </c>
    </row>
    <row r="4">
      <c r="A4" s="15" t="inlineStr"/>
      <c r="B4" s="15" t="inlineStr">
        <is>
          <t>DBH cm</t>
        </is>
      </c>
      <c r="C4" s="15" t="inlineStr">
        <is>
          <t>Height m</t>
        </is>
      </c>
      <c r="D4" s="15" t="inlineStr">
        <is>
          <t>DBH-only kg</t>
        </is>
      </c>
      <c r="E4" s="15" t="inlineStr">
        <is>
          <t>DBH+height kg</t>
        </is>
      </c>
    </row>
    <row r="5">
      <c r="A5" s="4" t="inlineStr">
        <is>
          <t>General conifer</t>
        </is>
      </c>
      <c r="B5" s="17" t="n">
        <v>15</v>
      </c>
      <c r="D5" s="17" t="n">
        <v>46.1</v>
      </c>
    </row>
    <row r="6">
      <c r="A6" s="4" t="inlineStr">
        <is>
          <t>General conifer</t>
        </is>
      </c>
      <c r="B6" s="17" t="n">
        <v>25</v>
      </c>
      <c r="D6" s="17" t="n">
        <v>154.2</v>
      </c>
    </row>
    <row r="7">
      <c r="A7" s="4" t="inlineStr">
        <is>
          <t>General conifer</t>
        </is>
      </c>
      <c r="B7" s="17" t="n">
        <v>40</v>
      </c>
      <c r="D7" s="17" t="n">
        <v>494.7</v>
      </c>
    </row>
    <row r="8">
      <c r="A8" s="4" t="inlineStr">
        <is>
          <t>General conifer</t>
        </is>
      </c>
      <c r="B8" s="17" t="n">
        <v>60</v>
      </c>
      <c r="D8" s="17" t="n">
        <v>1656.9</v>
      </c>
    </row>
    <row r="9">
      <c r="A9" s="4" t="inlineStr">
        <is>
          <t>General conifer</t>
        </is>
      </c>
      <c r="B9" s="17" t="n">
        <v>29.5</v>
      </c>
      <c r="D9" s="17" t="n">
        <v>226.6</v>
      </c>
    </row>
    <row r="10">
      <c r="A10" s="4" t="inlineStr">
        <is>
          <t>Pinus wallichiana</t>
        </is>
      </c>
      <c r="B10" s="17" t="n">
        <v>25</v>
      </c>
      <c r="C10" s="17" t="n">
        <v>16</v>
      </c>
      <c r="D10" s="17" t="n">
        <v>172.9</v>
      </c>
      <c r="E10" s="17" t="n">
        <v>154.2</v>
      </c>
    </row>
    <row r="11">
      <c r="A11" s="4" t="inlineStr">
        <is>
          <t>Pinus wallichiana</t>
        </is>
      </c>
      <c r="B11" s="17" t="n">
        <v>25</v>
      </c>
      <c r="C11" s="17" t="n">
        <v>22</v>
      </c>
      <c r="D11" s="17" t="n">
        <v>172.9</v>
      </c>
      <c r="E11" s="17" t="n">
        <v>211.4</v>
      </c>
    </row>
    <row r="12">
      <c r="A12" s="4" t="inlineStr">
        <is>
          <t>Pinus wallichiana</t>
        </is>
      </c>
      <c r="B12" s="17" t="n">
        <v>45</v>
      </c>
      <c r="C12" s="17" t="n">
        <v>26</v>
      </c>
      <c r="D12" s="17" t="n">
        <v>740</v>
      </c>
      <c r="E12" s="17" t="n">
        <v>770.1</v>
      </c>
    </row>
    <row r="14">
      <c r="B14" s="2" t="inlineStr">
        <is>
          <t>Unit VI slide figures: 15 cm → 46.1 kg, 25 cm → 154.2 kg, 40 cm → 494.7 kg, 60 cm → 1 656.9 kg, mean tree 29.5 cm → 226 kg (general conifer, DBH only).</t>
        </is>
      </c>
    </row>
    <row r="15">
      <c r="B15" s="2" t="inlineStr">
        <is>
          <t>Unit VI exercise: blue pine 25 cm/16 m and 25 cm/22 m give the same 172.9 kg on diameter alone, but 154.2 kg and 211.4 kg once height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2026-08-08T08:41:35Z</dcterms:created>
  <dcterms:modified xmlns:dcterms="http://purl.org/dc/terms/" xmlns:xsi="http://www.w3.org/2001/XMLSchema-instance" xsi:type="dcterms:W3CDTF">2026-08-08T08:41:35Z</dcterms:modified>
</cp:coreProperties>
</file>