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Equ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000000"/>
    <numFmt numFmtId="167" formatCode="0.000"/>
    <numFmt numFmtId="168" formatCode="0.0%"/>
    <numFmt numFmtId="169" formatCode="0.00000"/>
  </numFmts>
  <fonts count="9">
    <font>
      <name val="Calibri"/>
      <family val="2"/>
      <color theme="1"/>
      <sz val="11"/>
      <scheme val="minor"/>
    </font>
    <font>
      <name val="Calibri"/>
      <b val="1"/>
      <color rgb="002F5140"/>
      <sz val="16"/>
    </font>
    <font>
      <name val="Calibri"/>
      <i val="1"/>
      <color rgb="006B7A6E"/>
      <sz val="9"/>
    </font>
    <font>
      <name val="Calibri"/>
      <b val="1"/>
      <sz val="11"/>
    </font>
    <font>
      <b val="1"/>
      <color rgb="002F5140"/>
      <sz val="13"/>
    </font>
    <font>
      <b val="1"/>
      <color rgb="00C14524"/>
      <sz val="13"/>
    </font>
    <font>
      <b val="1"/>
      <color rgb="00C14524"/>
    </font>
    <font>
      <name val="Calibri"/>
      <b val="1"/>
      <color rgb="00FFFFFF"/>
      <sz val="11"/>
    </font>
    <font>
      <name val="Consolas"/>
      <sz val="11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DCE6DD"/>
      </patternFill>
    </fill>
    <fill>
      <patternFill patternType="solid">
        <fgColor rgb="002F5140"/>
      </patternFill>
    </fill>
  </fills>
  <borders count="2">
    <border>
      <left/>
      <right/>
      <top/>
      <bottom/>
      <diagonal/>
    </border>
    <border>
      <left style="thin">
        <color rgb="00C9CFC7"/>
      </left>
      <right style="thin">
        <color rgb="00C9CFC7"/>
      </right>
      <top style="thin">
        <color rgb="00C9CFC7"/>
      </top>
      <bottom style="thin">
        <color rgb="00C9CF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2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7" fontId="4" fillId="3" borderId="1" pivotButton="0" quotePrefix="0" xfId="0"/>
    <xf numFmtId="0" fontId="6" fillId="0" borderId="0" applyAlignment="1" pivotButton="0" quotePrefix="0" xfId="0">
      <alignment vertical="top" wrapText="1"/>
    </xf>
    <xf numFmtId="167" fontId="0" fillId="0" borderId="1" pivotButton="0" quotePrefix="0" xfId="0"/>
    <xf numFmtId="168" fontId="0" fillId="0" borderId="1" pivotButton="0" quotePrefix="0" xfId="0"/>
    <xf numFmtId="167" fontId="5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0" fontId="8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3" customWidth="1" min="5" max="5"/>
    <col width="30" customWidth="1" min="6" max="6"/>
    <col width="16" customWidth="1" min="7" max="7"/>
    <col width="16" customWidth="1" min="8" max="8"/>
    <col width="3" customWidth="1" min="9" max="9"/>
  </cols>
  <sheetData>
    <row r="2">
      <c r="B2" s="1" t="inlineStr">
        <is>
          <t>MEN 201 · Merchantable volume calculator</t>
        </is>
      </c>
    </row>
    <row r="3">
      <c r="B3" s="2" t="inlineStr">
        <is>
          <t>Pinus wallichiana (blue pine) · FRMD, DoFPS (2018) · Models 7 and 16</t>
        </is>
      </c>
    </row>
    <row r="4" ht="28" customHeight="1">
      <c r="B4" s="3" t="inlineStr">
        <is>
          <t>Merchantable stem volume to a 10 cm over-bark top, branches and foliage excluded. Fitted on 249 felled trees, DBH about 10–128 cm, 214 of them from Thimphu, Paro and Haa.</t>
        </is>
      </c>
    </row>
    <row r="6">
      <c r="B6" s="4" t="inlineStr">
        <is>
          <t>INPUTS — type over the shaded cells</t>
        </is>
      </c>
      <c r="F6" s="4" t="inlineStr">
        <is>
          <t>MODEL 16 — uses height (the better model)</t>
        </is>
      </c>
    </row>
    <row r="7">
      <c r="B7" s="4" t="inlineStr">
        <is>
          <t>DBH over bark</t>
        </is>
      </c>
      <c r="C7" s="5" t="n">
        <v>54.1</v>
      </c>
      <c r="D7" s="2" t="inlineStr">
        <is>
          <t>cm</t>
        </is>
      </c>
      <c r="F7" s="4" t="inlineStr">
        <is>
          <t>knot t1</t>
        </is>
      </c>
      <c r="G7" s="6" t="n">
        <v>0.193</v>
      </c>
    </row>
    <row r="8">
      <c r="B8" s="4" t="inlineStr">
        <is>
          <t>Total height</t>
        </is>
      </c>
      <c r="C8" s="5" t="n">
        <v>23.4</v>
      </c>
      <c r="D8" s="2" t="inlineStr">
        <is>
          <t>m</t>
        </is>
      </c>
      <c r="F8" s="4" t="inlineStr">
        <is>
          <t>knot t2</t>
        </is>
      </c>
      <c r="G8" s="6" t="n">
        <v>0.871</v>
      </c>
    </row>
    <row r="9">
      <c r="F9" s="4" t="inlineStr">
        <is>
          <t>knot t3</t>
        </is>
      </c>
      <c r="G9" s="6" t="n">
        <v>9.294</v>
      </c>
    </row>
    <row r="10">
      <c r="B10" s="4" t="inlineStr">
        <is>
          <t>DERIVED</t>
        </is>
      </c>
      <c r="F10" s="4" t="inlineStr">
        <is>
          <t>spline X2</t>
        </is>
      </c>
      <c r="G10" s="6">
        <f>MAX(0,$C$12-$G$7)^3-MAX(0,$C$12-$G$8)^3*(($G$9-$G$7)/($G$9-$G$8))+MAX(0,$C$12-$G$9)^3*(($G$8-$G$7)/($G$9-$G$8))</f>
        <v/>
      </c>
    </row>
    <row r="11">
      <c r="B11" s="4" t="inlineStr">
        <is>
          <t>Basal area  BA = π·d²/4</t>
        </is>
      </c>
      <c r="C11" s="7">
        <f>PI()*(C7/100)^2/4</f>
        <v/>
      </c>
      <c r="D11" s="2" t="inlineStr">
        <is>
          <t>m²</t>
        </is>
      </c>
      <c r="F11" s="4" t="inlineStr">
        <is>
          <t>b0</t>
        </is>
      </c>
      <c r="G11" s="6" t="n">
        <v>-0.0009352</v>
      </c>
    </row>
    <row r="12">
      <c r="B12" s="4" t="inlineStr">
        <is>
          <t>BA × height  BAH</t>
        </is>
      </c>
      <c r="C12" s="7">
        <f>C11*C8</f>
        <v/>
      </c>
      <c r="D12" s="2" t="inlineStr">
        <is>
          <t>m³</t>
        </is>
      </c>
      <c r="F12" s="4" t="inlineStr">
        <is>
          <t>b1</t>
        </is>
      </c>
      <c r="G12" s="6" t="n">
        <v>0.4284381</v>
      </c>
    </row>
    <row r="13">
      <c r="F13" s="4" t="inlineStr">
        <is>
          <t>b2</t>
        </is>
      </c>
      <c r="G13" s="6" t="n">
        <v>-0.0016409</v>
      </c>
    </row>
    <row r="14">
      <c r="F14" s="4" t="inlineStr">
        <is>
          <t>VOLUME  (Model 16)</t>
        </is>
      </c>
      <c r="G14" s="8">
        <f>G11+G12*C12+G13*G10</f>
        <v/>
      </c>
      <c r="H14" s="2" t="inlineStr">
        <is>
          <t>m³</t>
        </is>
      </c>
    </row>
    <row r="15">
      <c r="B15" s="4" t="inlineStr">
        <is>
          <t>RANGE CHECK</t>
        </is>
      </c>
    </row>
    <row r="16">
      <c r="B16" s="9">
        <f>IF(OR(C7&lt;10,C7&gt;128),"OUTSIDE the fitted DBH range of 10–128 cm — do not use",IF(OR(C8&lt;4.6,C8&gt;61.3),"Height outside the fitted range of 4.6–61.3 m — use with caution","Inside the fitted range"))</f>
        <v/>
      </c>
      <c r="F16" s="4" t="inlineStr">
        <is>
          <t>MODEL 7 — diameter alone, when height is unavailable</t>
        </is>
      </c>
    </row>
    <row r="17">
      <c r="F17" s="4" t="inlineStr">
        <is>
          <t>knot t1</t>
        </is>
      </c>
      <c r="G17" s="6" t="n">
        <v>0.02</v>
      </c>
    </row>
    <row r="18">
      <c r="F18" s="4" t="inlineStr">
        <is>
          <t>knot t2</t>
        </is>
      </c>
      <c r="G18" s="6" t="n">
        <v>0.061</v>
      </c>
    </row>
    <row r="19">
      <c r="B19" s="4" t="inlineStr">
        <is>
          <t>Difference, Model 7 − Model 16</t>
        </is>
      </c>
      <c r="C19" s="10">
        <f>G24-G14</f>
        <v/>
      </c>
      <c r="F19" s="4" t="inlineStr">
        <is>
          <t>knot t3</t>
        </is>
      </c>
      <c r="G19" s="6" t="n">
        <v>0.311</v>
      </c>
    </row>
    <row r="20">
      <c r="B20" s="4" t="inlineStr">
        <is>
          <t>…as a % of Model 16</t>
        </is>
      </c>
      <c r="C20" s="11">
        <f>IF(G14=0,"",(G24-G14)/G14)</f>
        <v/>
      </c>
      <c r="F20" s="4" t="inlineStr">
        <is>
          <t>spline X2</t>
        </is>
      </c>
      <c r="G20" s="6">
        <f>MAX(0,$C$11-$G$17)^3-MAX(0,$C$11-$G$18)^3*(($G$19-$G$17)/($G$19-$G$18))+MAX(0,$C$11-$G$19)^3*(($G$18-$G$17)/($G$19-$G$18))</f>
        <v/>
      </c>
    </row>
    <row r="21">
      <c r="F21" s="4" t="inlineStr">
        <is>
          <t>b0</t>
        </is>
      </c>
      <c r="G21" s="6" t="n">
        <v>-0.0384</v>
      </c>
    </row>
    <row r="22">
      <c r="B22" s="3" t="inlineStr">
        <is>
          <t>Model 16 predicts merchantable volume, not total stem volume. A difference between this figure and a sectional measurement of the whole stem is partly definition, not error.</t>
        </is>
      </c>
      <c r="F22" s="4" t="inlineStr">
        <is>
          <t>b1</t>
        </is>
      </c>
      <c r="G22" s="6" t="n">
        <v>6.6383</v>
      </c>
    </row>
    <row r="23">
      <c r="F23" s="4" t="inlineStr">
        <is>
          <t>b2</t>
        </is>
      </c>
      <c r="G23" s="6" t="n">
        <v>390.5079</v>
      </c>
    </row>
    <row r="24">
      <c r="F24" s="4" t="inlineStr">
        <is>
          <t>VOLUME  (Model 7)</t>
        </is>
      </c>
      <c r="G24" s="12">
        <f>G21+G22*C11+G23*G20</f>
        <v/>
      </c>
      <c r="H24" s="2" t="inlineStr">
        <is>
          <t>m³</t>
        </is>
      </c>
    </row>
    <row r="25"/>
  </sheetData>
  <mergeCells count="3">
    <mergeCell ref="B16:D17"/>
    <mergeCell ref="B4:H4"/>
    <mergeCell ref="B22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2">
      <c r="B2" s="1" t="inlineStr">
        <is>
          <t>Published validation tree</t>
        </is>
      </c>
    </row>
    <row r="3">
      <c r="B3" s="2" t="inlineStr">
        <is>
          <t>FRMD (2018), section 10 (demonstration of the selected models) and section 11 (model performance)</t>
        </is>
      </c>
    </row>
    <row r="5">
      <c r="A5" s="13" t="inlineStr"/>
      <c r="B5" s="13" t="inlineStr">
        <is>
          <t>DBH cm</t>
        </is>
      </c>
      <c r="C5" s="13" t="inlineStr">
        <is>
          <t>Height m</t>
        </is>
      </c>
      <c r="D5" s="13" t="inlineStr">
        <is>
          <t>Field measured m³</t>
        </is>
      </c>
      <c r="E5" s="13" t="inlineStr">
        <is>
          <t>Model 16 m³</t>
        </is>
      </c>
      <c r="F5" s="13" t="inlineStr">
        <is>
          <t>Model 7 m³</t>
        </is>
      </c>
    </row>
    <row r="6">
      <c r="A6" s="4" t="inlineStr">
        <is>
          <t>Study's demonstration tree</t>
        </is>
      </c>
      <c r="B6" s="14" t="n">
        <v>54.1</v>
      </c>
      <c r="C6" s="14" t="n">
        <v>23.4</v>
      </c>
      <c r="D6" s="15" t="n">
        <v>2.10895</v>
      </c>
      <c r="E6" s="16" t="n">
        <v>2.237</v>
      </c>
      <c r="F6" s="16" t="n">
        <v>2.908</v>
      </c>
    </row>
    <row r="9">
      <c r="B9" s="2" t="inlineStr">
        <is>
          <t>Published figures: Model 16 = 2.237 m³, Model 7 = 2.908 m³, field measured = 2.10895 m³.</t>
        </is>
      </c>
    </row>
    <row r="10">
      <c r="B10" s="2" t="inlineStr">
        <is>
          <t>Errors against the felled tree: Model 16 +6.1 %, Model 7 +37.9 %. That gap is what one height measurement is worth.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  <col width="34" customWidth="1" min="4" max="4"/>
  </cols>
  <sheetData>
    <row r="2">
      <c r="B2" s="1" t="inlineStr">
        <is>
          <t>The two selected models</t>
        </is>
      </c>
    </row>
    <row r="4">
      <c r="A4" s="13" t="inlineStr"/>
      <c r="B4" s="13" t="inlineStr">
        <is>
          <t>Model</t>
        </is>
      </c>
      <c r="C4" s="13" t="inlineStr">
        <is>
          <t>Equation</t>
        </is>
      </c>
      <c r="D4" s="13" t="inlineStr">
        <is>
          <t>Knots (10th, 50th, 90th percentile)</t>
        </is>
      </c>
    </row>
    <row r="5">
      <c r="B5" s="17" t="inlineStr">
        <is>
          <t>Model 7</t>
        </is>
      </c>
      <c r="C5" s="17" t="inlineStr">
        <is>
          <t>V = −0.0384 + 6.6383·BA + 390.5079·X2      (BA in m²)</t>
        </is>
      </c>
      <c r="D5" s="17" t="inlineStr">
        <is>
          <t>0.020, 0.061, 0.311</t>
        </is>
      </c>
    </row>
    <row r="6">
      <c r="B6" s="17" t="inlineStr">
        <is>
          <t>Model 16</t>
        </is>
      </c>
      <c r="C6" s="17" t="inlineStr">
        <is>
          <t>V = −0.0009352 + 0.4284381·BAH − 0.0016409·X2      (BAH in m³)</t>
        </is>
      </c>
      <c r="D6" s="17" t="inlineStr">
        <is>
          <t>0.193, 0.871, 9.294</t>
        </is>
      </c>
    </row>
    <row r="8">
      <c r="B8" s="18" t="inlineStr">
        <is>
          <t>X2 = (x−t1)³₊ − (x−t2)³₊·(t3−t1)/(t3−t2) + (x−t3)³₊·(t2−t1)/(t3−t2)</t>
        </is>
      </c>
    </row>
    <row r="9">
      <c r="B9" s="2" t="inlineStr">
        <is>
          <t>( )₊ means cube it only if the bracket is positive, otherwise zero.</t>
        </is>
      </c>
    </row>
    <row r="11">
      <c r="B11" s="4" t="inlineStr">
        <is>
          <t>Model domain — quote it with every figure</t>
        </is>
      </c>
    </row>
    <row r="12">
      <c r="B12" s="2" t="inlineStr">
        <is>
          <t>· Species: Pinus wallichiana only</t>
        </is>
      </c>
    </row>
    <row r="13">
      <c r="B13" s="2" t="inlineStr">
        <is>
          <t>· Predicted quantity: merchantable stem volume, m³</t>
        </is>
      </c>
    </row>
    <row r="14">
      <c r="B14" s="2" t="inlineStr">
        <is>
          <t>· Minimum DBH 10 cm · merchantable top 10 cm over bark</t>
        </is>
      </c>
    </row>
    <row r="15">
      <c r="B15" s="2" t="inlineStr">
        <is>
          <t>· Branches and foliage excluded</t>
        </is>
      </c>
    </row>
    <row r="16">
      <c r="B16" s="2" t="inlineStr">
        <is>
          <t>· Sample: 249 felled trees; 214 from Thimphu, Paro and Haa</t>
        </is>
      </c>
    </row>
    <row r="17">
      <c r="B17" s="2" t="inlineStr">
        <is>
          <t>· Fitted DBH range about 10–128 cm; height 4.6–61.3 m</t>
        </is>
      </c>
    </row>
    <row r="18">
      <c r="B18" s="2" t="inlineStr">
        <is>
          <t>· Inputs: BA in m², height in m, BAH in m³. Output in m³.</t>
        </is>
      </c>
    </row>
  </sheetData>
  <mergeCells count="7">
    <mergeCell ref="B14:D14"/>
    <mergeCell ref="B15:D15"/>
    <mergeCell ref="B17:D17"/>
    <mergeCell ref="B18:D18"/>
    <mergeCell ref="B13:D13"/>
    <mergeCell ref="B12:D1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2026-08-08T08:41:35Z</dcterms:created>
  <dcterms:modified xmlns:dcterms="http://purl.org/dc/terms/" xmlns:xsi="http://www.w3.org/2001/XMLSchema-instance" xsi:type="dcterms:W3CDTF">2026-08-08T08:41:35Z</dcterms:modified>
</cp:coreProperties>
</file>